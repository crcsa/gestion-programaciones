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amirez\OneDrive - Cruz Roja Colombiana Seccional Antioquia\Escritorio\"/>
    </mc:Choice>
  </mc:AlternateContent>
  <bookViews>
    <workbookView xWindow="0" yWindow="0" windowWidth="23040" windowHeight="10512" activeTab="3"/>
  </bookViews>
  <sheets>
    <sheet name="BACTERIOLOGOS" sheetId="2" r:id="rId1"/>
    <sheet name="TECNICOS" sheetId="3" r:id="rId2"/>
    <sheet name="HORARIOS" sheetId="1" r:id="rId3"/>
    <sheet name="LINEA TIEMPO CAMPAÑAS" sheetId="4" r:id="rId4"/>
    <sheet name="MIX CAMPAÑA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4" l="1"/>
  <c r="G12" i="4"/>
  <c r="B8" i="4"/>
  <c r="D7" i="4"/>
  <c r="D8" i="4" s="1"/>
  <c r="D6" i="4"/>
  <c r="D5" i="4"/>
  <c r="D4" i="4"/>
  <c r="D3" i="4"/>
  <c r="F18" i="1"/>
  <c r="D18" i="1"/>
  <c r="B18" i="1"/>
</calcChain>
</file>

<file path=xl/comments1.xml><?xml version="1.0" encoding="utf-8"?>
<comments xmlns="http://schemas.openxmlformats.org/spreadsheetml/2006/main">
  <authors>
    <author>Mónica Astrid Ramírez García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Mónica Astrid Ramírez García:</t>
        </r>
        <r>
          <rPr>
            <sz val="9"/>
            <color indexed="81"/>
            <rFont val="Tahoma"/>
            <family val="2"/>
          </rPr>
          <t xml:space="preserve">
1 Bacte cubre vacaciones
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Mónica Astrid Ramírez García:</t>
        </r>
        <r>
          <rPr>
            <sz val="9"/>
            <color indexed="81"/>
            <rFont val="Tahoma"/>
            <family val="2"/>
          </rPr>
          <t xml:space="preserve">
1 Tecnico vacaciones</t>
        </r>
      </text>
    </comment>
  </commentList>
</comments>
</file>

<file path=xl/sharedStrings.xml><?xml version="1.0" encoding="utf-8"?>
<sst xmlns="http://schemas.openxmlformats.org/spreadsheetml/2006/main" count="299" uniqueCount="142">
  <si>
    <t>ROL</t>
  </si>
  <si>
    <t>NOMBRE</t>
  </si>
  <si>
    <t>X</t>
  </si>
  <si>
    <t>ANALISTA BACTERIÓLOGO</t>
  </si>
  <si>
    <t>ANALISTA MÉDICO</t>
  </si>
  <si>
    <t>DAVID ALBERTO LOPEZ</t>
  </si>
  <si>
    <t>HILLARY YÉPES ZAPATA</t>
  </si>
  <si>
    <t>LORENA MAHECHA TOBÓN</t>
  </si>
  <si>
    <t>JOSE MANUEL MARTINEZ</t>
  </si>
  <si>
    <t>LORENA QUINTERO MURILLO</t>
  </si>
  <si>
    <t>MANUELA HOYOS VALDERRAMA</t>
  </si>
  <si>
    <t>ANA MARIA ZULUAGA HINCAPIE</t>
  </si>
  <si>
    <t>LOREINIS ESPITIA</t>
  </si>
  <si>
    <t>JESSICA BEDOYA ALVAREZ</t>
  </si>
  <si>
    <t>MARIA ISABEL MONSALVE</t>
  </si>
  <si>
    <t>DINA MARIA CEBALLOS</t>
  </si>
  <si>
    <t>RAMSES JOSE CANTOR CARO</t>
  </si>
  <si>
    <t>VANESSA URREA</t>
  </si>
  <si>
    <t>KATIA GARCES</t>
  </si>
  <si>
    <t>DIANA PAOLA MARTINEZ</t>
  </si>
  <si>
    <t>DIANA CAROLINA CASTILLO</t>
  </si>
  <si>
    <t>SAGRADO</t>
  </si>
  <si>
    <t>CLAUDIA  JARAMILLO ALZATE</t>
  </si>
  <si>
    <t>YIRA PALACIOS CONCHO</t>
  </si>
  <si>
    <t>LEIDY GOMEZ ARIAS</t>
  </si>
  <si>
    <t>VIDA</t>
  </si>
  <si>
    <t>ANDREA ZAPATA</t>
  </si>
  <si>
    <t>YOHANA DUQUE</t>
  </si>
  <si>
    <t>SANTIAGO SERRA</t>
  </si>
  <si>
    <t>CEDULA</t>
  </si>
  <si>
    <t>TÉCNICO BANCO DE SANGRE</t>
  </si>
  <si>
    <t>43.834.909</t>
  </si>
  <si>
    <t>CLAUDIA TABORDA LÓPEZ</t>
  </si>
  <si>
    <t>LEDYS HERAZO MARTINEZ</t>
  </si>
  <si>
    <t>YUDY RODRIGEZ LONDOÑO</t>
  </si>
  <si>
    <t>JEYSON DAVID PELUFFO</t>
  </si>
  <si>
    <t>MARYORI HOLGUIN</t>
  </si>
  <si>
    <t>TATIANA PEREZ</t>
  </si>
  <si>
    <t>LISETH VELEZ</t>
  </si>
  <si>
    <t>MARIANA URAN</t>
  </si>
  <si>
    <t>LAURA  PEREZ</t>
  </si>
  <si>
    <t>CAMILO MARQUEZ</t>
  </si>
  <si>
    <t>XIMENA ZAPATA</t>
  </si>
  <si>
    <t>YULIANA RUIZ</t>
  </si>
  <si>
    <t>BRENDA VELEZ</t>
  </si>
  <si>
    <t>NATALIA GOMEZ IBARRA</t>
  </si>
  <si>
    <t>CLAUDIA CORRALES</t>
  </si>
  <si>
    <t>LEIDY PERAFAN</t>
  </si>
  <si>
    <t>MEDICO # 2</t>
  </si>
  <si>
    <t xml:space="preserve">AFERESIS    AMICUS    </t>
  </si>
  <si>
    <t>MARCELA LOAIZA</t>
  </si>
  <si>
    <t>AFERESIS</t>
  </si>
  <si>
    <t>TECNICOS BANCO DE SANGRE</t>
  </si>
  <si>
    <t>AUXILIAR ADMINISTRATIVO</t>
  </si>
  <si>
    <t>PAULA RIOS</t>
  </si>
  <si>
    <t>ERIKA DUQUE</t>
  </si>
  <si>
    <t>ANGIE MEJIA</t>
  </si>
  <si>
    <t>DESPACHOS</t>
  </si>
  <si>
    <t>ENCUESTAS - INVENTARIO</t>
  </si>
  <si>
    <t>AREAS BANCO DE SANGRE</t>
  </si>
  <si>
    <t>PERSONAL DISPONIBLE</t>
  </si>
  <si>
    <t>MEDICO</t>
  </si>
  <si>
    <t>BACTERIOLOGO</t>
  </si>
  <si>
    <t>TECNICO</t>
  </si>
  <si>
    <t>CAMPAÑAS</t>
  </si>
  <si>
    <t>#
MEDICOS</t>
  </si>
  <si>
    <t>HORARIO</t>
  </si>
  <si>
    <t># BACTERIOLOGOS</t>
  </si>
  <si>
    <t xml:space="preserve"> #
TECNICOS</t>
  </si>
  <si>
    <t xml:space="preserve">HORARIO </t>
  </si>
  <si>
    <t>EQUIPO 1 (CAMPAÑA 1)</t>
  </si>
  <si>
    <r>
      <t xml:space="preserve">Según Programador
</t>
    </r>
    <r>
      <rPr>
        <b/>
        <sz val="11"/>
        <color theme="1"/>
        <rFont val="Calibri"/>
        <family val="2"/>
        <scheme val="minor"/>
      </rPr>
      <t>Sab: (H.E Campañas)</t>
    </r>
  </si>
  <si>
    <t>EQUIPO 2 (CAMPAÑA 2)</t>
  </si>
  <si>
    <t>EQUIPO 3 (CAMPAÑA 3)</t>
  </si>
  <si>
    <t>EQUIPO 4 (CAMPAÑA 4)</t>
  </si>
  <si>
    <t>AFERESIS TURNO 1</t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</si>
  <si>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06:30 am -02:00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06:30 am - 01:00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 07:00 am - 05:00 pm</t>
    </r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</si>
  <si>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07:00 am -05:00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07:00 am - 04:00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 07:00 am - 05:00 pm (H.E)</t>
    </r>
  </si>
  <si>
    <t>AFERESIS TURNO 2</t>
  </si>
  <si>
    <r>
      <t>Lun - Jue: 11</t>
    </r>
    <r>
      <rPr>
        <sz val="11"/>
        <color theme="1"/>
        <rFont val="Calibri"/>
        <family val="2"/>
        <scheme val="minor"/>
      </rPr>
      <t xml:space="preserve">:30 am -07:00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12:00 am - 07:00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 07:00 am - 05:00 pm</t>
    </r>
  </si>
  <si>
    <t xml:space="preserve"> INMUNOSEROLOGÍA (PRUEBAS)</t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</si>
  <si>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07:00 am -05:00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07:30 am - 04:30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 11:00 am - 05:00 pm (H.E)</t>
    </r>
  </si>
  <si>
    <t>INMUNOHEMATOLOGÍA</t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</si>
  <si>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07:00 am -05:00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07:30 am - 04:30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(H.E Campañas)</t>
    </r>
  </si>
  <si>
    <t>FRACCIONAMIENTO TURNO 1</t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</si>
  <si>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07:00 am -05:00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07:30 am - 04:30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(H.E Campañas)</t>
    </r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</si>
  <si>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06:00 am -04:00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06:00 am - 03:00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(H.E Campañas)</t>
    </r>
  </si>
  <si>
    <t>FRACCIONAMIENTO TURNO 2</t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</si>
  <si>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10:00 am -08:00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11:00 am - 08:00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(H.E Campañas)</t>
    </r>
  </si>
  <si>
    <t>SEGUNDA AUDITORIA / OTROS</t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</si>
  <si>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07:00 am -05:00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07:00 am - 04:00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(H.E Campañas)</t>
    </r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</si>
  <si>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07:00 am -03:00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07:00 am - 01:30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 07:00 am - 05:00 pm</t>
    </r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</si>
  <si>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07:00 am -05:00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07:00 am - 04:00 pm
</t>
    </r>
  </si>
  <si>
    <r>
      <t xml:space="preserve">Lun - Jue: </t>
    </r>
    <r>
      <rPr>
        <sz val="11"/>
        <color theme="1"/>
        <rFont val="Calibri"/>
        <family val="2"/>
        <scheme val="minor"/>
      </rPr>
      <t xml:space="preserve">11:00 am -07:00 pm
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11:30 am - 07:00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 07:00 am - 05:00 pm</t>
    </r>
  </si>
  <si>
    <r>
      <t xml:space="preserve">Lun - Mart: </t>
    </r>
    <r>
      <rPr>
        <sz val="11"/>
        <color theme="1"/>
        <rFont val="Calibri"/>
        <family val="2"/>
        <scheme val="minor"/>
      </rPr>
      <t xml:space="preserve">10:30 am -06:00 pm
</t>
    </r>
    <r>
      <rPr>
        <b/>
        <sz val="11"/>
        <color theme="1"/>
        <rFont val="Calibri"/>
        <family val="2"/>
        <scheme val="minor"/>
      </rPr>
      <t>Mie</t>
    </r>
    <r>
      <rPr>
        <sz val="11"/>
        <color theme="1"/>
        <rFont val="Calibri"/>
        <family val="2"/>
        <scheme val="minor"/>
      </rPr>
      <t>r -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10:00 am - 06:00 pm
</t>
    </r>
    <r>
      <rPr>
        <b/>
        <sz val="11"/>
        <color theme="1"/>
        <rFont val="Calibri"/>
        <family val="2"/>
        <scheme val="minor"/>
      </rPr>
      <t>Sab</t>
    </r>
    <r>
      <rPr>
        <sz val="11"/>
        <color theme="1"/>
        <rFont val="Calibri"/>
        <family val="2"/>
        <scheme val="minor"/>
      </rPr>
      <t>: 10:00 am - 06:00 pm</t>
    </r>
  </si>
  <si>
    <t>SERVICIO TRANSFUSIONAL CLINICA VIDA</t>
  </si>
  <si>
    <r>
      <t>Lun - Mier: 07</t>
    </r>
    <r>
      <rPr>
        <sz val="11"/>
        <color theme="1"/>
        <rFont val="Calibri"/>
        <family val="2"/>
        <scheme val="minor"/>
      </rPr>
      <t>:00 am -04:30 pm
Juev -</t>
    </r>
    <r>
      <rPr>
        <b/>
        <sz val="11"/>
        <color theme="1"/>
        <rFont val="Calibri"/>
        <family val="2"/>
        <scheme val="minor"/>
      </rPr>
      <t>Vier</t>
    </r>
    <r>
      <rPr>
        <sz val="11"/>
        <color theme="1"/>
        <rFont val="Calibri"/>
        <family val="2"/>
        <scheme val="minor"/>
      </rPr>
      <t xml:space="preserve">: 07:00 am - 04:00 pm
</t>
    </r>
    <r>
      <rPr>
        <b/>
        <sz val="11"/>
        <color theme="1"/>
        <rFont val="Calibri"/>
        <family val="2"/>
        <scheme val="minor"/>
      </rPr>
      <t>Sab: (H.E Campañas)</t>
    </r>
  </si>
  <si>
    <t>TOTAL OPERACIÓN</t>
  </si>
  <si>
    <t>HORAS LABORALES</t>
  </si>
  <si>
    <t>TIEMPO ALMUERZO</t>
  </si>
  <si>
    <t>TOTAL HORAS</t>
  </si>
  <si>
    <t>LUNES</t>
  </si>
  <si>
    <t>MARTES</t>
  </si>
  <si>
    <t>MIÉRCOLES</t>
  </si>
  <si>
    <t>JUEVES</t>
  </si>
  <si>
    <t>VIERNES</t>
  </si>
  <si>
    <t>Desplaz y Montaje</t>
  </si>
  <si>
    <t>Horas efectivas (Incluye almuerzo)</t>
  </si>
  <si>
    <t>desmontaje</t>
  </si>
  <si>
    <t>Desplaz</t>
  </si>
  <si>
    <t>Descargeu y almac</t>
  </si>
  <si>
    <t>MART - VIERN</t>
  </si>
  <si>
    <t>SELECCIÓN DONANTES CAMPAÑAS - SEDE - PUNTO FIJO</t>
  </si>
  <si>
    <t>FRACCIONAMIENTO</t>
  </si>
  <si>
    <t xml:space="preserve">INMUNOHEMATOLOGIA </t>
  </si>
  <si>
    <t>INMUNOSEROLOGIA</t>
  </si>
  <si>
    <t>SERVICIOS TRANSFUSIONALES</t>
  </si>
  <si>
    <t>SELECCION DONANTES SEDE TURNO 1</t>
  </si>
  <si>
    <t>SELECCION DONANTES SEDE TURNO 2</t>
  </si>
  <si>
    <t>SELECCIÓN DONANTES PUNTO FIJO</t>
  </si>
  <si>
    <t>AREAS</t>
  </si>
  <si>
    <t>ATENCIÓN DONANTES  CAMPAÑAS - SEDE - PUNTO FIJO</t>
  </si>
  <si>
    <t>MIX DE CAMPAÑAS</t>
  </si>
  <si>
    <t>TAMAÑO</t>
  </si>
  <si>
    <t>PERSONAL</t>
  </si>
  <si>
    <t>INSUMOS ADICIONALES</t>
  </si>
  <si>
    <t>MAXIMO DONANTES</t>
  </si>
  <si>
    <t>S</t>
  </si>
  <si>
    <t>1 BACTERIOLOGO             2 TECNICOS</t>
  </si>
  <si>
    <t>NA</t>
  </si>
  <si>
    <t>48 DONANTES</t>
  </si>
  <si>
    <t>S REFORZADA</t>
  </si>
  <si>
    <t>1 BACTERIOLOGO             3 TECNICOS</t>
  </si>
  <si>
    <r>
      <t>2 CAMILLAS                                 2 BALANZAS DE COLECTA                   2 SOPORTES PESA                        1DISPENSADOR MICROPORE   1 ALGODONERA                          1 CANECA ROJA</t>
    </r>
    <r>
      <rPr>
        <sz val="10"/>
        <color theme="1"/>
        <rFont val="Calibri"/>
        <family val="2"/>
        <scheme val="minor"/>
      </rPr>
      <t xml:space="preserve">                               1 CANECA NEGRA</t>
    </r>
  </si>
  <si>
    <t>M</t>
  </si>
  <si>
    <t>2 BACTERIOLOGOS             4 TECNICOS</t>
  </si>
  <si>
    <t>96 DONANTES</t>
  </si>
  <si>
    <t>2 BACTERIOLOGOS             3 TECNICOS</t>
  </si>
  <si>
    <t>L</t>
  </si>
  <si>
    <t>3 BACTERIOLOGO             6 TECNICOS</t>
  </si>
  <si>
    <t>144 DONANTES</t>
  </si>
  <si>
    <t>LINEA DE TIEMPO CAMPAÑAS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</si>
</sst>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Inherit"/>
    </font>
    <font>
      <b/>
      <sz val="11"/>
      <color rgb="FF000000"/>
      <name val="Inherit"/>
    </font>
    <font>
      <sz val="9"/>
      <color rgb="FF000000"/>
      <name val="Inherit"/>
    </font>
    <font>
      <sz val="12"/>
      <color theme="1"/>
      <name val="Calibri"/>
      <family val="2"/>
      <scheme val="minor"/>
    </font>
    <font>
      <b/>
      <sz val="14"/>
      <color rgb="FF000000"/>
      <name val="Inherit"/>
    </font>
    <font>
      <b/>
      <sz val="12"/>
      <color rgb="FF000000"/>
      <name val="Inherit"/>
    </font>
    <font>
      <sz val="10"/>
      <color rgb="FF000000"/>
      <name val="Inherit"/>
    </font>
    <font>
      <sz val="11"/>
      <color rgb="FF000000"/>
      <name val="Inherit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3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14" fontId="0" fillId="0" borderId="6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Fill="1"/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0" xfId="0" applyBorder="1"/>
    <xf numFmtId="0" fontId="12" fillId="10" borderId="1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0" fillId="0" borderId="0" xfId="0" applyFont="1"/>
    <xf numFmtId="0" fontId="10" fillId="11" borderId="2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horizontal="center" vertical="center" wrapText="1"/>
    </xf>
    <xf numFmtId="0" fontId="10" fillId="0" borderId="0" xfId="0" applyFont="1" applyFill="1"/>
    <xf numFmtId="0" fontId="10" fillId="0" borderId="2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10" fillId="11" borderId="2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10" fillId="11" borderId="22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10" fillId="0" borderId="20" xfId="0" applyFont="1" applyBorder="1"/>
    <xf numFmtId="0" fontId="0" fillId="0" borderId="21" xfId="0" applyBorder="1"/>
    <xf numFmtId="0" fontId="0" fillId="0" borderId="6" xfId="0" applyBorder="1"/>
    <xf numFmtId="0" fontId="10" fillId="0" borderId="23" xfId="0" applyFont="1" applyBorder="1"/>
    <xf numFmtId="0" fontId="0" fillId="0" borderId="10" xfId="0" applyBorder="1"/>
    <xf numFmtId="0" fontId="0" fillId="0" borderId="16" xfId="0" applyBorder="1"/>
    <xf numFmtId="0" fontId="10" fillId="0" borderId="17" xfId="0" applyFont="1" applyBorder="1"/>
    <xf numFmtId="0" fontId="0" fillId="0" borderId="19" xfId="0" applyBorder="1" applyAlignment="1">
      <alignment horizontal="center" vertical="center"/>
    </xf>
    <xf numFmtId="0" fontId="10" fillId="14" borderId="25" xfId="0" applyFont="1" applyFill="1" applyBorder="1" applyAlignment="1">
      <alignment horizontal="center" vertical="center" wrapText="1"/>
    </xf>
    <xf numFmtId="0" fontId="10" fillId="14" borderId="27" xfId="0" applyFont="1" applyFill="1" applyBorder="1" applyAlignment="1">
      <alignment horizontal="center" vertical="center" wrapText="1"/>
    </xf>
    <xf numFmtId="0" fontId="10" fillId="14" borderId="28" xfId="0" applyFont="1" applyFill="1" applyBorder="1" applyAlignment="1">
      <alignment horizontal="center" vertical="center" wrapText="1"/>
    </xf>
    <xf numFmtId="0" fontId="10" fillId="14" borderId="11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0" fillId="14" borderId="11" xfId="0" applyFont="1" applyFill="1" applyBorder="1" applyAlignment="1">
      <alignment horizontal="center" vertical="center" wrapText="1"/>
    </xf>
    <xf numFmtId="0" fontId="10" fillId="14" borderId="1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0" fillId="15" borderId="29" xfId="0" applyFont="1" applyFill="1" applyBorder="1" applyAlignment="1">
      <alignment horizontal="center"/>
    </xf>
    <xf numFmtId="0" fontId="10" fillId="15" borderId="30" xfId="0" applyFont="1" applyFill="1" applyBorder="1" applyAlignment="1">
      <alignment horizontal="center"/>
    </xf>
    <xf numFmtId="0" fontId="10" fillId="15" borderId="3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9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left" vertical="center"/>
    </xf>
    <xf numFmtId="0" fontId="0" fillId="0" borderId="23" xfId="0" applyFont="1" applyBorder="1" applyAlignment="1">
      <alignment horizontal="center"/>
    </xf>
    <xf numFmtId="0" fontId="8" fillId="3" borderId="21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8" fillId="3" borderId="18" xfId="0" applyFont="1" applyFill="1" applyBorder="1" applyAlignment="1">
      <alignment horizontal="left" vertical="center"/>
    </xf>
    <xf numFmtId="0" fontId="0" fillId="0" borderId="20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5" fillId="4" borderId="21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/>
    </xf>
    <xf numFmtId="0" fontId="3" fillId="7" borderId="21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5" borderId="18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vertical="center"/>
    </xf>
    <xf numFmtId="0" fontId="10" fillId="0" borderId="9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0" fillId="11" borderId="11" xfId="0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B1" zoomScaleNormal="100" workbookViewId="0">
      <pane xSplit="3" ySplit="9" topLeftCell="E10" activePane="bottomRight" state="frozen"/>
      <selection activeCell="B1" sqref="B1"/>
      <selection pane="topRight" activeCell="I1" sqref="I1"/>
      <selection pane="bottomLeft" activeCell="B17" sqref="B17"/>
      <selection pane="bottomRight" activeCell="C12" sqref="C12"/>
    </sheetView>
  </sheetViews>
  <sheetFormatPr baseColWidth="10" defaultRowHeight="14.4"/>
  <cols>
    <col min="1" max="1" width="26.77734375" hidden="1" customWidth="1"/>
    <col min="2" max="2" width="34" customWidth="1"/>
    <col min="3" max="3" width="25.77734375" style="8" customWidth="1"/>
    <col min="4" max="4" width="19.77734375" style="8" customWidth="1"/>
    <col min="5" max="5" width="22" style="8" customWidth="1"/>
    <col min="6" max="6" width="25.5546875" style="8" customWidth="1"/>
    <col min="7" max="7" width="21.44140625" style="8" customWidth="1"/>
    <col min="8" max="8" width="20.5546875" style="8" customWidth="1"/>
  </cols>
  <sheetData>
    <row r="1" spans="1:8" s="2" customFormat="1" ht="42" thickBot="1">
      <c r="A1" s="101" t="s">
        <v>0</v>
      </c>
      <c r="B1" s="1" t="s">
        <v>1</v>
      </c>
      <c r="C1" s="87" t="s">
        <v>112</v>
      </c>
      <c r="D1" s="87" t="s">
        <v>49</v>
      </c>
      <c r="E1" s="87" t="s">
        <v>113</v>
      </c>
      <c r="F1" s="87" t="s">
        <v>114</v>
      </c>
      <c r="G1" s="87" t="s">
        <v>115</v>
      </c>
      <c r="H1" s="87" t="s">
        <v>116</v>
      </c>
    </row>
    <row r="2" spans="1:8" ht="15" thickBot="1">
      <c r="A2" s="91" t="s">
        <v>4</v>
      </c>
      <c r="B2" s="112" t="s">
        <v>5</v>
      </c>
      <c r="C2" s="86" t="s">
        <v>2</v>
      </c>
      <c r="D2" s="86" t="s">
        <v>2</v>
      </c>
      <c r="E2" s="86"/>
      <c r="F2" s="86"/>
      <c r="G2" s="86"/>
      <c r="H2" s="113"/>
    </row>
    <row r="3" spans="1:8" ht="15" thickBot="1">
      <c r="A3" s="91"/>
      <c r="B3" s="102" t="s">
        <v>48</v>
      </c>
      <c r="C3" s="4"/>
      <c r="D3" s="4"/>
      <c r="E3" s="4"/>
      <c r="F3" s="4"/>
      <c r="G3" s="4"/>
      <c r="H3" s="103"/>
    </row>
    <row r="4" spans="1:8" ht="15" thickBot="1">
      <c r="A4" s="91" t="s">
        <v>3</v>
      </c>
      <c r="B4" s="102" t="s">
        <v>6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104"/>
    </row>
    <row r="5" spans="1:8" ht="15" thickBot="1">
      <c r="A5" s="91" t="s">
        <v>3</v>
      </c>
      <c r="B5" s="102" t="s">
        <v>7</v>
      </c>
      <c r="C5" s="4" t="s">
        <v>2</v>
      </c>
      <c r="D5" s="4" t="s">
        <v>2</v>
      </c>
      <c r="E5" s="4" t="s">
        <v>2</v>
      </c>
      <c r="F5" s="4" t="s">
        <v>2</v>
      </c>
      <c r="G5" s="4" t="s">
        <v>2</v>
      </c>
      <c r="H5" s="103"/>
    </row>
    <row r="6" spans="1:8" ht="15" thickBot="1">
      <c r="A6" s="91" t="s">
        <v>3</v>
      </c>
      <c r="B6" s="102" t="s">
        <v>9</v>
      </c>
      <c r="C6" s="4" t="s">
        <v>2</v>
      </c>
      <c r="D6" s="4" t="s">
        <v>2</v>
      </c>
      <c r="E6" s="4" t="s">
        <v>2</v>
      </c>
      <c r="F6" s="4" t="s">
        <v>2</v>
      </c>
      <c r="G6" s="4"/>
      <c r="H6" s="103"/>
    </row>
    <row r="7" spans="1:8" ht="15" thickBot="1">
      <c r="A7" s="91" t="s">
        <v>3</v>
      </c>
      <c r="B7" s="102" t="s">
        <v>10</v>
      </c>
      <c r="C7" s="4" t="s">
        <v>2</v>
      </c>
      <c r="D7" s="4" t="s">
        <v>2</v>
      </c>
      <c r="E7" s="4" t="s">
        <v>2</v>
      </c>
      <c r="F7" s="4" t="s">
        <v>2</v>
      </c>
      <c r="G7" s="4"/>
      <c r="H7" s="103"/>
    </row>
    <row r="8" spans="1:8" ht="15" thickBot="1">
      <c r="A8" s="91" t="s">
        <v>3</v>
      </c>
      <c r="B8" s="102" t="s">
        <v>11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103"/>
    </row>
    <row r="9" spans="1:8" ht="15" thickBot="1">
      <c r="A9" s="91" t="s">
        <v>3</v>
      </c>
      <c r="B9" s="102" t="s">
        <v>12</v>
      </c>
      <c r="C9" s="5" t="s">
        <v>2</v>
      </c>
      <c r="D9" s="4" t="s">
        <v>2</v>
      </c>
      <c r="E9" s="5" t="s">
        <v>2</v>
      </c>
      <c r="F9" s="4" t="s">
        <v>2</v>
      </c>
      <c r="G9" s="4" t="s">
        <v>2</v>
      </c>
      <c r="H9" s="103"/>
    </row>
    <row r="10" spans="1:8" ht="15" thickBot="1">
      <c r="A10" s="91" t="s">
        <v>3</v>
      </c>
      <c r="B10" s="102" t="s">
        <v>13</v>
      </c>
      <c r="C10" s="4" t="s">
        <v>2</v>
      </c>
      <c r="D10" s="4" t="s">
        <v>2</v>
      </c>
      <c r="E10" s="4"/>
      <c r="F10" s="4"/>
      <c r="G10" s="5"/>
      <c r="H10" s="103"/>
    </row>
    <row r="11" spans="1:8" ht="15" thickBot="1">
      <c r="A11" s="91" t="s">
        <v>3</v>
      </c>
      <c r="B11" s="102" t="s">
        <v>14</v>
      </c>
      <c r="C11" s="4" t="s">
        <v>2</v>
      </c>
      <c r="D11" s="5" t="s">
        <v>2</v>
      </c>
      <c r="E11" s="4" t="s">
        <v>2</v>
      </c>
      <c r="F11" s="4" t="s">
        <v>2</v>
      </c>
      <c r="G11" s="4" t="s">
        <v>2</v>
      </c>
      <c r="H11" s="103"/>
    </row>
    <row r="12" spans="1:8" ht="15" thickBot="1">
      <c r="A12" s="91"/>
      <c r="B12" s="102" t="s">
        <v>15</v>
      </c>
      <c r="C12" s="4" t="s">
        <v>2</v>
      </c>
      <c r="D12" s="5"/>
      <c r="E12" s="4" t="s">
        <v>2</v>
      </c>
      <c r="F12" s="4" t="s">
        <v>2</v>
      </c>
      <c r="G12" s="5"/>
      <c r="H12" s="103"/>
    </row>
    <row r="13" spans="1:8" ht="15" thickBot="1">
      <c r="A13" s="91"/>
      <c r="B13" s="102" t="s">
        <v>17</v>
      </c>
      <c r="C13" s="4" t="s">
        <v>2</v>
      </c>
      <c r="D13" s="4"/>
      <c r="E13" s="4" t="s">
        <v>2</v>
      </c>
      <c r="F13" s="4"/>
      <c r="G13" s="5"/>
      <c r="H13" s="103"/>
    </row>
    <row r="14" spans="1:8" ht="15" thickBot="1">
      <c r="A14" s="91"/>
      <c r="B14" s="102" t="s">
        <v>18</v>
      </c>
      <c r="C14" s="4" t="s">
        <v>2</v>
      </c>
      <c r="D14" s="4"/>
      <c r="E14" s="4" t="s">
        <v>2</v>
      </c>
      <c r="F14" s="4"/>
      <c r="G14" s="5"/>
      <c r="H14" s="103" t="s">
        <v>2</v>
      </c>
    </row>
    <row r="15" spans="1:8" ht="15" thickBot="1">
      <c r="A15" s="91"/>
      <c r="B15" s="102" t="s">
        <v>19</v>
      </c>
      <c r="C15" s="4" t="s">
        <v>2</v>
      </c>
      <c r="D15" s="4"/>
      <c r="E15" s="4" t="s">
        <v>2</v>
      </c>
      <c r="F15" s="4"/>
      <c r="G15" s="5"/>
      <c r="H15" s="103"/>
    </row>
    <row r="16" spans="1:8" ht="15" thickBot="1">
      <c r="A16" s="91"/>
      <c r="B16" s="102" t="s">
        <v>23</v>
      </c>
      <c r="C16" s="4" t="s">
        <v>2</v>
      </c>
      <c r="D16" s="4" t="s">
        <v>2</v>
      </c>
      <c r="E16" s="4" t="s">
        <v>2</v>
      </c>
      <c r="F16" s="4"/>
      <c r="G16" s="4"/>
      <c r="H16" s="103" t="s">
        <v>2</v>
      </c>
    </row>
    <row r="17" spans="1:8" ht="15" thickBot="1">
      <c r="A17" s="91"/>
      <c r="B17" s="102"/>
      <c r="C17" s="4"/>
      <c r="D17" s="4"/>
      <c r="E17" s="4"/>
      <c r="F17" s="4"/>
      <c r="G17" s="5"/>
      <c r="H17" s="103"/>
    </row>
    <row r="18" spans="1:8" ht="18" thickBot="1">
      <c r="A18" s="91"/>
      <c r="B18" s="105" t="s">
        <v>21</v>
      </c>
      <c r="C18" s="6"/>
      <c r="D18" s="6"/>
      <c r="E18" s="6"/>
      <c r="F18" s="6"/>
      <c r="G18" s="6"/>
      <c r="H18" s="106"/>
    </row>
    <row r="19" spans="1:8" ht="15" thickBot="1">
      <c r="A19" s="91" t="s">
        <v>3</v>
      </c>
      <c r="B19" s="107" t="s">
        <v>16</v>
      </c>
      <c r="C19" s="4" t="s">
        <v>2</v>
      </c>
      <c r="D19" s="4" t="s">
        <v>2</v>
      </c>
      <c r="E19" s="4" t="s">
        <v>2</v>
      </c>
      <c r="F19" s="4"/>
      <c r="G19" s="5"/>
      <c r="H19" s="103" t="s">
        <v>2</v>
      </c>
    </row>
    <row r="20" spans="1:8" ht="15" thickBot="1">
      <c r="A20" s="91" t="s">
        <v>3</v>
      </c>
      <c r="B20" s="107" t="s">
        <v>27</v>
      </c>
      <c r="C20" s="4" t="s">
        <v>2</v>
      </c>
      <c r="D20" s="4" t="s">
        <v>2</v>
      </c>
      <c r="E20" s="4" t="s">
        <v>2</v>
      </c>
      <c r="F20" s="4"/>
      <c r="G20" s="4"/>
      <c r="H20" s="103" t="s">
        <v>2</v>
      </c>
    </row>
    <row r="21" spans="1:8" ht="15" thickBot="1">
      <c r="A21" s="91" t="s">
        <v>3</v>
      </c>
      <c r="B21" s="107" t="s">
        <v>26</v>
      </c>
      <c r="C21" s="4" t="s">
        <v>2</v>
      </c>
      <c r="D21" s="4"/>
      <c r="E21" s="4" t="s">
        <v>2</v>
      </c>
      <c r="F21" s="4"/>
      <c r="G21" s="4"/>
      <c r="H21" s="103" t="s">
        <v>2</v>
      </c>
    </row>
    <row r="22" spans="1:8" ht="15" thickBot="1">
      <c r="A22" s="91"/>
      <c r="B22" s="107" t="s">
        <v>24</v>
      </c>
      <c r="C22" s="4"/>
      <c r="D22" s="4" t="s">
        <v>2</v>
      </c>
      <c r="E22" s="4"/>
      <c r="F22" s="4"/>
      <c r="G22" s="4"/>
      <c r="H22" s="103" t="s">
        <v>2</v>
      </c>
    </row>
    <row r="23" spans="1:8" ht="17.399999999999999">
      <c r="B23" s="105" t="s">
        <v>25</v>
      </c>
      <c r="C23" s="6"/>
      <c r="D23" s="6"/>
      <c r="E23" s="6"/>
      <c r="F23" s="6"/>
      <c r="G23" s="6"/>
      <c r="H23" s="106"/>
    </row>
    <row r="24" spans="1:8" ht="15" thickBot="1">
      <c r="A24" s="91"/>
      <c r="B24" s="108" t="s">
        <v>20</v>
      </c>
      <c r="C24" s="4"/>
      <c r="D24" s="4"/>
      <c r="E24" s="4"/>
      <c r="F24" s="4"/>
      <c r="G24" s="5"/>
      <c r="H24" s="103" t="s">
        <v>2</v>
      </c>
    </row>
    <row r="25" spans="1:8">
      <c r="A25" s="7"/>
      <c r="B25" s="108" t="s">
        <v>28</v>
      </c>
      <c r="C25" s="4" t="s">
        <v>2</v>
      </c>
      <c r="D25" s="4" t="s">
        <v>2</v>
      </c>
      <c r="E25" s="4"/>
      <c r="F25" s="4"/>
      <c r="G25" s="4"/>
      <c r="H25" s="103" t="s">
        <v>2</v>
      </c>
    </row>
    <row r="26" spans="1:8">
      <c r="B26" s="108" t="s">
        <v>8</v>
      </c>
      <c r="C26" s="4" t="s">
        <v>2</v>
      </c>
      <c r="D26" s="4" t="s">
        <v>2</v>
      </c>
      <c r="E26" s="4" t="s">
        <v>2</v>
      </c>
      <c r="F26" s="4" t="s">
        <v>2</v>
      </c>
      <c r="G26" s="4" t="s">
        <v>2</v>
      </c>
      <c r="H26" s="103" t="s">
        <v>2</v>
      </c>
    </row>
    <row r="27" spans="1:8" ht="15" thickBot="1">
      <c r="B27" s="109" t="s">
        <v>22</v>
      </c>
      <c r="C27" s="110"/>
      <c r="D27" s="110"/>
      <c r="E27" s="110"/>
      <c r="F27" s="110"/>
      <c r="G27" s="110"/>
      <c r="H27" s="11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C1" zoomScale="90" zoomScaleNormal="90" workbookViewId="0">
      <pane ySplit="1" topLeftCell="A2" activePane="bottomLeft" state="frozen"/>
      <selection pane="bottomLeft" activeCell="H24" sqref="H24"/>
    </sheetView>
  </sheetViews>
  <sheetFormatPr baseColWidth="10" defaultRowHeight="14.4"/>
  <cols>
    <col min="1" max="1" width="30.33203125" bestFit="1" customWidth="1"/>
    <col min="2" max="2" width="12.33203125" bestFit="1" customWidth="1"/>
    <col min="3" max="3" width="36.88671875" bestFit="1" customWidth="1"/>
    <col min="4" max="4" width="28.77734375" customWidth="1"/>
    <col min="5" max="5" width="21.6640625" style="8" customWidth="1"/>
    <col min="6" max="6" width="18.5546875" style="12" customWidth="1"/>
    <col min="7" max="7" width="14.33203125" customWidth="1"/>
  </cols>
  <sheetData>
    <row r="1" spans="1:7" s="2" customFormat="1" ht="42" thickBot="1">
      <c r="A1" s="9" t="s">
        <v>0</v>
      </c>
      <c r="B1" s="92" t="s">
        <v>29</v>
      </c>
      <c r="C1" s="9" t="s">
        <v>52</v>
      </c>
      <c r="D1" s="87" t="s">
        <v>121</v>
      </c>
      <c r="E1" s="87" t="s">
        <v>113</v>
      </c>
      <c r="F1" s="85" t="s">
        <v>51</v>
      </c>
      <c r="G1" s="87" t="s">
        <v>58</v>
      </c>
    </row>
    <row r="2" spans="1:7" ht="19.2" customHeight="1" thickBot="1">
      <c r="A2" s="3" t="s">
        <v>30</v>
      </c>
      <c r="B2" s="90" t="s">
        <v>31</v>
      </c>
      <c r="C2" s="99" t="s">
        <v>32</v>
      </c>
      <c r="D2" s="88" t="s">
        <v>2</v>
      </c>
      <c r="E2" s="88" t="s">
        <v>2</v>
      </c>
      <c r="F2" s="88" t="s">
        <v>2</v>
      </c>
      <c r="G2" s="100"/>
    </row>
    <row r="3" spans="1:7" ht="17.399999999999999" customHeight="1" thickBot="1">
      <c r="A3" s="3" t="s">
        <v>30</v>
      </c>
      <c r="B3" s="90">
        <v>39273748</v>
      </c>
      <c r="C3" s="93" t="s">
        <v>33</v>
      </c>
      <c r="D3" s="10" t="s">
        <v>2</v>
      </c>
      <c r="E3" s="10" t="s">
        <v>2</v>
      </c>
      <c r="F3" s="10" t="s">
        <v>2</v>
      </c>
      <c r="G3" s="94"/>
    </row>
    <row r="4" spans="1:7" ht="21" customHeight="1" thickBot="1">
      <c r="A4" s="3" t="s">
        <v>30</v>
      </c>
      <c r="B4" s="91">
        <v>1152690315</v>
      </c>
      <c r="C4" s="95" t="s">
        <v>34</v>
      </c>
      <c r="D4" s="10" t="s">
        <v>2</v>
      </c>
      <c r="E4" s="10" t="s">
        <v>2</v>
      </c>
      <c r="F4" s="10" t="s">
        <v>2</v>
      </c>
      <c r="G4" s="94" t="s">
        <v>2</v>
      </c>
    </row>
    <row r="5" spans="1:7" ht="16.8" customHeight="1" thickBot="1">
      <c r="A5" s="3" t="s">
        <v>30</v>
      </c>
      <c r="B5" s="91">
        <v>43973734</v>
      </c>
      <c r="C5" s="95" t="s">
        <v>50</v>
      </c>
      <c r="D5" s="10" t="s">
        <v>2</v>
      </c>
      <c r="E5" s="10" t="s">
        <v>2</v>
      </c>
      <c r="F5" s="10" t="s">
        <v>2</v>
      </c>
      <c r="G5" s="94"/>
    </row>
    <row r="6" spans="1:7" ht="19.8" customHeight="1" thickBot="1">
      <c r="A6" s="3" t="s">
        <v>30</v>
      </c>
      <c r="B6" s="91">
        <v>1047433285</v>
      </c>
      <c r="C6" s="95" t="s">
        <v>35</v>
      </c>
      <c r="D6" s="10" t="s">
        <v>2</v>
      </c>
      <c r="E6" s="10" t="s">
        <v>2</v>
      </c>
      <c r="F6" s="10"/>
      <c r="G6" s="94"/>
    </row>
    <row r="7" spans="1:7" ht="21.6" customHeight="1" thickBot="1">
      <c r="B7" s="91"/>
      <c r="C7" s="95" t="s">
        <v>36</v>
      </c>
      <c r="D7" s="10" t="s">
        <v>2</v>
      </c>
      <c r="E7" s="10" t="s">
        <v>2</v>
      </c>
      <c r="F7" s="10"/>
      <c r="G7" s="94"/>
    </row>
    <row r="8" spans="1:7" ht="20.399999999999999" customHeight="1" thickBot="1">
      <c r="B8" s="91"/>
      <c r="C8" s="95" t="s">
        <v>37</v>
      </c>
      <c r="D8" s="10" t="s">
        <v>2</v>
      </c>
      <c r="E8" s="10" t="s">
        <v>2</v>
      </c>
      <c r="F8" s="10"/>
      <c r="G8" s="94"/>
    </row>
    <row r="9" spans="1:7" ht="21" hidden="1" customHeight="1" thickBot="1">
      <c r="B9" s="91"/>
      <c r="C9" s="95" t="s">
        <v>38</v>
      </c>
      <c r="D9" s="11"/>
      <c r="E9" s="11" t="s">
        <v>2</v>
      </c>
      <c r="F9" s="10" t="s">
        <v>2</v>
      </c>
      <c r="G9" s="94"/>
    </row>
    <row r="10" spans="1:7" ht="18.600000000000001" customHeight="1" thickBot="1">
      <c r="B10" s="91"/>
      <c r="C10" s="95" t="s">
        <v>39</v>
      </c>
      <c r="D10" s="11" t="s">
        <v>2</v>
      </c>
      <c r="E10" s="11" t="s">
        <v>2</v>
      </c>
      <c r="F10" s="10"/>
      <c r="G10" s="94"/>
    </row>
    <row r="11" spans="1:7" ht="21.6" customHeight="1" thickBot="1">
      <c r="B11" s="91"/>
      <c r="C11" s="95" t="s">
        <v>40</v>
      </c>
      <c r="D11" s="11" t="s">
        <v>2</v>
      </c>
      <c r="E11" s="11" t="s">
        <v>2</v>
      </c>
      <c r="F11" s="10" t="s">
        <v>2</v>
      </c>
      <c r="G11" s="94"/>
    </row>
    <row r="12" spans="1:7" ht="21.6" customHeight="1" thickBot="1">
      <c r="B12" s="91"/>
      <c r="C12" s="95" t="s">
        <v>41</v>
      </c>
      <c r="D12" s="11" t="s">
        <v>2</v>
      </c>
      <c r="E12" s="11" t="s">
        <v>2</v>
      </c>
      <c r="F12" s="10" t="s">
        <v>2</v>
      </c>
      <c r="G12" s="94"/>
    </row>
    <row r="13" spans="1:7" ht="19.8" customHeight="1" thickBot="1">
      <c r="B13" s="91"/>
      <c r="C13" s="95" t="s">
        <v>42</v>
      </c>
      <c r="D13" s="11" t="s">
        <v>2</v>
      </c>
      <c r="E13" s="11" t="s">
        <v>2</v>
      </c>
      <c r="F13" s="10" t="s">
        <v>2</v>
      </c>
      <c r="G13" s="94"/>
    </row>
    <row r="14" spans="1:7" ht="21.6" customHeight="1" thickBot="1">
      <c r="B14" s="91"/>
      <c r="C14" s="95" t="s">
        <v>43</v>
      </c>
      <c r="D14" s="10" t="s">
        <v>2</v>
      </c>
      <c r="E14" s="10" t="s">
        <v>2</v>
      </c>
      <c r="F14" s="10"/>
      <c r="G14" s="94"/>
    </row>
    <row r="15" spans="1:7" ht="21.6" customHeight="1" thickBot="1">
      <c r="B15" s="91"/>
      <c r="C15" s="95" t="s">
        <v>44</v>
      </c>
      <c r="D15" s="10" t="s">
        <v>2</v>
      </c>
      <c r="E15" s="10" t="s">
        <v>2</v>
      </c>
      <c r="F15" s="10" t="s">
        <v>2</v>
      </c>
      <c r="G15" s="94"/>
    </row>
    <row r="16" spans="1:7" ht="20.399999999999999" customHeight="1" thickBot="1">
      <c r="B16" s="91"/>
      <c r="C16" s="95" t="s">
        <v>45</v>
      </c>
      <c r="D16" s="10" t="s">
        <v>2</v>
      </c>
      <c r="E16" s="10" t="s">
        <v>2</v>
      </c>
      <c r="F16" s="10"/>
      <c r="G16" s="94"/>
    </row>
    <row r="17" spans="2:7" ht="23.4" customHeight="1" thickBot="1">
      <c r="B17" s="91"/>
      <c r="C17" s="95" t="s">
        <v>46</v>
      </c>
      <c r="D17" s="10" t="s">
        <v>2</v>
      </c>
      <c r="E17" s="10" t="s">
        <v>2</v>
      </c>
      <c r="F17" s="10"/>
      <c r="G17" s="94"/>
    </row>
    <row r="18" spans="2:7" ht="23.4" customHeight="1" thickBot="1">
      <c r="B18" s="91"/>
      <c r="C18" s="95" t="s">
        <v>47</v>
      </c>
      <c r="D18" s="10" t="s">
        <v>2</v>
      </c>
      <c r="E18" s="10" t="s">
        <v>2</v>
      </c>
      <c r="F18" s="10"/>
      <c r="G18" s="94"/>
    </row>
    <row r="19" spans="2:7" ht="13.8" customHeight="1" thickBot="1">
      <c r="B19" s="91"/>
      <c r="C19" s="95"/>
      <c r="D19" s="10"/>
      <c r="E19" s="10"/>
      <c r="F19" s="10"/>
      <c r="G19" s="94"/>
    </row>
    <row r="20" spans="2:7" ht="15" thickBot="1">
      <c r="B20" s="91"/>
      <c r="C20" s="96"/>
      <c r="D20" s="97"/>
      <c r="E20" s="97"/>
      <c r="F20" s="97"/>
      <c r="G20" s="98"/>
    </row>
    <row r="22" spans="2:7" ht="15" thickBot="1"/>
    <row r="23" spans="2:7" ht="28.2" thickBot="1">
      <c r="C23" s="9" t="s">
        <v>53</v>
      </c>
      <c r="D23" s="87" t="s">
        <v>57</v>
      </c>
      <c r="E23" s="87" t="s">
        <v>58</v>
      </c>
      <c r="F23" s="89"/>
    </row>
    <row r="24" spans="2:7">
      <c r="C24" s="95" t="s">
        <v>54</v>
      </c>
      <c r="D24" s="10" t="s">
        <v>2</v>
      </c>
      <c r="E24" s="10"/>
      <c r="F24" s="94"/>
    </row>
    <row r="25" spans="2:7">
      <c r="C25" s="95" t="s">
        <v>55</v>
      </c>
      <c r="D25" s="10" t="s">
        <v>2</v>
      </c>
      <c r="E25" s="10"/>
      <c r="F25" s="94"/>
    </row>
    <row r="26" spans="2:7">
      <c r="C26" s="95" t="s">
        <v>56</v>
      </c>
      <c r="D26" s="10" t="s">
        <v>2</v>
      </c>
      <c r="E26" s="10" t="s">
        <v>2</v>
      </c>
      <c r="F26" s="94"/>
    </row>
    <row r="27" spans="2:7" ht="15" thickBot="1">
      <c r="C27" s="96"/>
      <c r="D27" s="97"/>
      <c r="E27" s="97"/>
      <c r="F27" s="9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8"/>
  <sheetViews>
    <sheetView workbookViewId="0">
      <selection sqref="A1:G1"/>
    </sheetView>
  </sheetViews>
  <sheetFormatPr baseColWidth="10" defaultRowHeight="14.4"/>
  <cols>
    <col min="1" max="1" width="33.109375" customWidth="1"/>
    <col min="2" max="2" width="12.6640625" customWidth="1"/>
    <col min="3" max="3" width="26.6640625" customWidth="1"/>
    <col min="4" max="4" width="16.77734375" customWidth="1"/>
    <col min="5" max="5" width="27.44140625" customWidth="1"/>
    <col min="6" max="6" width="15.33203125" customWidth="1"/>
    <col min="7" max="7" width="26.88671875" customWidth="1"/>
    <col min="8" max="8" width="9.109375" style="13" customWidth="1"/>
    <col min="9" max="9" width="11.44140625" customWidth="1"/>
    <col min="11" max="11" width="13.44140625" customWidth="1"/>
  </cols>
  <sheetData>
    <row r="1" spans="1:14" ht="18.600000000000001" thickBot="1">
      <c r="A1" s="73" t="s">
        <v>59</v>
      </c>
      <c r="B1" s="74"/>
      <c r="C1" s="74"/>
      <c r="D1" s="74"/>
      <c r="E1" s="74"/>
      <c r="F1" s="74"/>
      <c r="G1" s="75"/>
      <c r="I1" s="76" t="s">
        <v>60</v>
      </c>
      <c r="J1" s="14" t="s">
        <v>61</v>
      </c>
      <c r="K1" s="14" t="s">
        <v>62</v>
      </c>
      <c r="L1" s="15" t="s">
        <v>63</v>
      </c>
      <c r="M1" s="16"/>
    </row>
    <row r="2" spans="1:14" ht="47.4" thickBot="1">
      <c r="A2" s="17" t="s">
        <v>120</v>
      </c>
      <c r="B2" s="50" t="s">
        <v>65</v>
      </c>
      <c r="C2" s="50" t="s">
        <v>66</v>
      </c>
      <c r="D2" s="51" t="s">
        <v>67</v>
      </c>
      <c r="E2" s="52" t="s">
        <v>66</v>
      </c>
      <c r="F2" s="53" t="s">
        <v>68</v>
      </c>
      <c r="G2" s="53" t="s">
        <v>69</v>
      </c>
      <c r="I2" s="77"/>
      <c r="J2" s="18">
        <v>1</v>
      </c>
      <c r="K2" s="18">
        <v>13</v>
      </c>
      <c r="L2" s="19">
        <v>16</v>
      </c>
      <c r="M2" s="16"/>
    </row>
    <row r="3" spans="1:14" ht="28.8">
      <c r="A3" s="20" t="s">
        <v>70</v>
      </c>
      <c r="B3" s="21"/>
      <c r="C3" s="21"/>
      <c r="D3" s="22">
        <v>1</v>
      </c>
      <c r="E3" s="23" t="s">
        <v>71</v>
      </c>
      <c r="F3" s="21">
        <v>2</v>
      </c>
      <c r="G3" s="24" t="s">
        <v>71</v>
      </c>
      <c r="I3" s="25"/>
      <c r="J3" s="16"/>
      <c r="K3" s="16"/>
      <c r="L3" s="16"/>
      <c r="M3" s="16"/>
    </row>
    <row r="4" spans="1:14" ht="28.8">
      <c r="A4" s="26" t="s">
        <v>72</v>
      </c>
      <c r="B4" s="27"/>
      <c r="C4" s="27"/>
      <c r="D4" s="28">
        <v>1</v>
      </c>
      <c r="E4" s="23" t="s">
        <v>71</v>
      </c>
      <c r="F4" s="27">
        <v>2</v>
      </c>
      <c r="G4" s="24" t="s">
        <v>71</v>
      </c>
      <c r="J4" s="16"/>
      <c r="K4" s="16"/>
      <c r="L4" s="16"/>
      <c r="M4" s="16"/>
      <c r="N4" s="29"/>
    </row>
    <row r="5" spans="1:14" ht="28.8">
      <c r="A5" s="26" t="s">
        <v>73</v>
      </c>
      <c r="B5" s="27"/>
      <c r="C5" s="27"/>
      <c r="D5" s="30">
        <v>1</v>
      </c>
      <c r="E5" s="23" t="s">
        <v>71</v>
      </c>
      <c r="F5" s="27">
        <v>2</v>
      </c>
      <c r="G5" s="24" t="s">
        <v>71</v>
      </c>
      <c r="I5" s="31"/>
      <c r="J5" s="32"/>
      <c r="K5" s="16"/>
      <c r="L5" s="16"/>
      <c r="M5" s="16"/>
      <c r="N5" s="33"/>
    </row>
    <row r="6" spans="1:14" s="13" customFormat="1" ht="28.8">
      <c r="A6" s="26" t="s">
        <v>74</v>
      </c>
      <c r="B6" s="27"/>
      <c r="C6" s="27"/>
      <c r="D6" s="28">
        <v>1</v>
      </c>
      <c r="E6" s="23" t="s">
        <v>71</v>
      </c>
      <c r="F6" s="27">
        <v>2</v>
      </c>
      <c r="G6" s="24" t="s">
        <v>71</v>
      </c>
      <c r="I6" s="34"/>
      <c r="J6" s="16"/>
      <c r="K6" s="16"/>
      <c r="L6" s="16"/>
      <c r="M6" s="16"/>
      <c r="N6" s="29"/>
    </row>
    <row r="7" spans="1:14" ht="43.2">
      <c r="A7" s="35" t="s">
        <v>75</v>
      </c>
      <c r="B7" s="30"/>
      <c r="C7" s="36"/>
      <c r="D7" s="30">
        <v>1</v>
      </c>
      <c r="E7" s="36" t="s">
        <v>76</v>
      </c>
      <c r="F7" s="27">
        <v>1</v>
      </c>
      <c r="G7" s="37" t="s">
        <v>77</v>
      </c>
      <c r="H7" s="32"/>
      <c r="I7" s="34"/>
      <c r="J7" s="16"/>
      <c r="K7" s="16"/>
      <c r="L7" s="16"/>
      <c r="M7" s="16"/>
      <c r="N7" s="33"/>
    </row>
    <row r="8" spans="1:14" ht="43.2">
      <c r="A8" s="35" t="s">
        <v>78</v>
      </c>
      <c r="B8" s="30"/>
      <c r="C8" s="36"/>
      <c r="D8" s="30">
        <v>1</v>
      </c>
      <c r="E8" s="36" t="s">
        <v>79</v>
      </c>
      <c r="F8" s="27"/>
      <c r="G8" s="38"/>
      <c r="H8" s="32"/>
      <c r="I8" s="34"/>
      <c r="J8" s="16"/>
      <c r="K8" s="16"/>
      <c r="L8" s="16"/>
      <c r="M8" s="16"/>
      <c r="N8" s="33"/>
    </row>
    <row r="9" spans="1:14" ht="43.2">
      <c r="A9" s="35" t="s">
        <v>80</v>
      </c>
      <c r="B9" s="27"/>
      <c r="C9" s="27"/>
      <c r="D9" s="28">
        <v>1</v>
      </c>
      <c r="E9" s="36" t="s">
        <v>81</v>
      </c>
      <c r="F9" s="27"/>
      <c r="G9" s="38"/>
      <c r="H9" s="32"/>
      <c r="I9" s="34"/>
      <c r="J9" s="16"/>
      <c r="K9" s="16"/>
      <c r="L9" s="16"/>
      <c r="M9" s="16"/>
      <c r="N9" s="78"/>
    </row>
    <row r="10" spans="1:14" ht="43.2">
      <c r="A10" s="39" t="s">
        <v>82</v>
      </c>
      <c r="B10" s="27"/>
      <c r="C10" s="27"/>
      <c r="D10" s="28">
        <v>1</v>
      </c>
      <c r="E10" s="36" t="s">
        <v>83</v>
      </c>
      <c r="F10" s="27"/>
      <c r="G10" s="38"/>
      <c r="I10" s="34"/>
      <c r="J10" s="16"/>
      <c r="K10" s="16"/>
      <c r="L10" s="16"/>
      <c r="M10" s="16"/>
      <c r="N10" s="78"/>
    </row>
    <row r="11" spans="1:14" ht="43.2">
      <c r="A11" s="39" t="s">
        <v>84</v>
      </c>
      <c r="B11" s="27"/>
      <c r="C11" s="27"/>
      <c r="D11" s="28">
        <v>1</v>
      </c>
      <c r="E11" s="36" t="s">
        <v>85</v>
      </c>
      <c r="F11" s="27">
        <v>1</v>
      </c>
      <c r="G11" s="37" t="s">
        <v>86</v>
      </c>
      <c r="I11" s="34"/>
      <c r="J11" s="16"/>
      <c r="K11" s="16"/>
      <c r="L11" s="16"/>
      <c r="M11" s="16"/>
      <c r="N11" s="29"/>
    </row>
    <row r="12" spans="1:14" ht="43.2">
      <c r="A12" s="39" t="s">
        <v>87</v>
      </c>
      <c r="B12" s="27"/>
      <c r="C12" s="27"/>
      <c r="D12" s="28"/>
      <c r="E12" s="36"/>
      <c r="F12" s="27">
        <v>1</v>
      </c>
      <c r="G12" s="37" t="s">
        <v>88</v>
      </c>
      <c r="I12" s="34"/>
      <c r="J12" s="16"/>
      <c r="K12" s="16"/>
      <c r="L12" s="16"/>
      <c r="M12" s="16"/>
      <c r="N12" s="29"/>
    </row>
    <row r="13" spans="1:14" ht="43.2">
      <c r="A13" s="39" t="s">
        <v>89</v>
      </c>
      <c r="B13" s="27"/>
      <c r="C13" s="27"/>
      <c r="D13" s="28">
        <v>1</v>
      </c>
      <c r="E13" s="36" t="s">
        <v>90</v>
      </c>
      <c r="F13" s="27"/>
      <c r="G13" s="38"/>
      <c r="I13" s="34"/>
      <c r="N13" s="16"/>
    </row>
    <row r="14" spans="1:14" ht="43.2">
      <c r="A14" s="40" t="s">
        <v>117</v>
      </c>
      <c r="B14" s="41">
        <v>1</v>
      </c>
      <c r="C14" s="36" t="s">
        <v>91</v>
      </c>
      <c r="D14" s="28">
        <v>1</v>
      </c>
      <c r="E14" s="36" t="s">
        <v>91</v>
      </c>
      <c r="F14" s="27">
        <v>1</v>
      </c>
      <c r="G14" s="37" t="s">
        <v>92</v>
      </c>
      <c r="H14" s="32"/>
      <c r="I14" s="25"/>
      <c r="N14" s="16"/>
    </row>
    <row r="15" spans="1:14" ht="43.2">
      <c r="A15" s="40" t="s">
        <v>118</v>
      </c>
      <c r="B15" s="41"/>
      <c r="C15" s="36" t="s">
        <v>93</v>
      </c>
      <c r="D15" s="28"/>
      <c r="E15" s="36" t="s">
        <v>93</v>
      </c>
      <c r="F15" s="27">
        <v>1</v>
      </c>
      <c r="G15" s="37" t="s">
        <v>93</v>
      </c>
      <c r="H15" s="32"/>
      <c r="I15" s="25"/>
      <c r="N15" s="16"/>
    </row>
    <row r="16" spans="1:14" ht="48.6" customHeight="1">
      <c r="A16" s="40" t="s">
        <v>119</v>
      </c>
      <c r="B16" s="27"/>
      <c r="C16" s="27"/>
      <c r="D16" s="28">
        <v>1</v>
      </c>
      <c r="E16" s="36" t="s">
        <v>94</v>
      </c>
      <c r="F16" s="27">
        <v>1</v>
      </c>
      <c r="G16" s="37" t="s">
        <v>94</v>
      </c>
      <c r="H16" s="32"/>
      <c r="I16" s="25"/>
    </row>
    <row r="17" spans="1:9" ht="42" customHeight="1" thickBot="1">
      <c r="A17" s="42" t="s">
        <v>95</v>
      </c>
      <c r="B17" s="43"/>
      <c r="C17" s="43"/>
      <c r="D17" s="44"/>
      <c r="E17" s="45"/>
      <c r="F17" s="43">
        <v>1</v>
      </c>
      <c r="G17" s="37" t="s">
        <v>96</v>
      </c>
      <c r="I17" s="25"/>
    </row>
    <row r="18" spans="1:9" ht="15" thickBot="1">
      <c r="A18" s="46" t="s">
        <v>97</v>
      </c>
      <c r="B18" s="47">
        <f>SUM(B3:B17)</f>
        <v>1</v>
      </c>
      <c r="C18" s="47"/>
      <c r="D18" s="48">
        <f>SUM(D3:D17)</f>
        <v>12</v>
      </c>
      <c r="E18" s="47"/>
      <c r="F18" s="47">
        <f>SUM(F3:F17)</f>
        <v>15</v>
      </c>
      <c r="G18" s="49"/>
    </row>
  </sheetData>
  <mergeCells count="3">
    <mergeCell ref="A1:G1"/>
    <mergeCell ref="I1:I2"/>
    <mergeCell ref="N9:N1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G4" sqref="G4"/>
    </sheetView>
  </sheetViews>
  <sheetFormatPr baseColWidth="10" defaultRowHeight="14.4"/>
  <cols>
    <col min="1" max="1" width="12.5546875" customWidth="1"/>
  </cols>
  <sheetData>
    <row r="1" spans="1:7" ht="15" thickBot="1">
      <c r="A1" s="79" t="s">
        <v>64</v>
      </c>
      <c r="B1" s="80"/>
      <c r="C1" s="80"/>
      <c r="D1" s="81"/>
    </row>
    <row r="2" spans="1:7" ht="29.4" thickBot="1">
      <c r="A2" s="54"/>
      <c r="B2" s="55" t="s">
        <v>98</v>
      </c>
      <c r="C2" s="55" t="s">
        <v>99</v>
      </c>
      <c r="D2" s="56" t="s">
        <v>100</v>
      </c>
    </row>
    <row r="3" spans="1:7">
      <c r="A3" s="57" t="s">
        <v>101</v>
      </c>
      <c r="B3" s="58">
        <v>8</v>
      </c>
      <c r="C3" s="58">
        <v>0.5</v>
      </c>
      <c r="D3" s="59">
        <f>B3+C3</f>
        <v>8.5</v>
      </c>
    </row>
    <row r="4" spans="1:7">
      <c r="A4" s="60" t="s">
        <v>102</v>
      </c>
      <c r="B4" s="61">
        <v>9</v>
      </c>
      <c r="C4" s="61">
        <v>0.5</v>
      </c>
      <c r="D4" s="62">
        <f>B4+C4</f>
        <v>9.5</v>
      </c>
    </row>
    <row r="5" spans="1:7">
      <c r="A5" s="60" t="s">
        <v>103</v>
      </c>
      <c r="B5" s="61">
        <v>9</v>
      </c>
      <c r="C5" s="61">
        <v>0.5</v>
      </c>
      <c r="D5" s="62">
        <f>B5+C5</f>
        <v>9.5</v>
      </c>
    </row>
    <row r="6" spans="1:7">
      <c r="A6" s="60" t="s">
        <v>104</v>
      </c>
      <c r="B6" s="61">
        <v>9</v>
      </c>
      <c r="C6" s="61">
        <v>0.5</v>
      </c>
      <c r="D6" s="62">
        <f>B6+C6</f>
        <v>9.5</v>
      </c>
    </row>
    <row r="7" spans="1:7" ht="15" thickBot="1">
      <c r="A7" s="63" t="s">
        <v>105</v>
      </c>
      <c r="B7" s="64">
        <v>9</v>
      </c>
      <c r="C7" s="64">
        <v>0.5</v>
      </c>
      <c r="D7" s="65">
        <f>B7+C7</f>
        <v>9.5</v>
      </c>
    </row>
    <row r="8" spans="1:7">
      <c r="B8" s="25">
        <f>SUM(B3:B7)</f>
        <v>44</v>
      </c>
      <c r="D8" s="25">
        <f>SUM(D3:D7)</f>
        <v>46.5</v>
      </c>
    </row>
    <row r="9" spans="1:7" ht="15" thickBot="1"/>
    <row r="10" spans="1:7" ht="15" thickBot="1">
      <c r="A10" s="82" t="s">
        <v>141</v>
      </c>
      <c r="B10" s="83"/>
      <c r="C10" s="83"/>
      <c r="D10" s="83"/>
      <c r="E10" s="83"/>
      <c r="F10" s="83"/>
      <c r="G10" s="84"/>
    </row>
    <row r="11" spans="1:7" ht="58.2" thickBot="1">
      <c r="A11" s="70"/>
      <c r="B11" s="67" t="s">
        <v>106</v>
      </c>
      <c r="C11" s="68" t="s">
        <v>107</v>
      </c>
      <c r="D11" s="68" t="s">
        <v>108</v>
      </c>
      <c r="E11" s="68" t="s">
        <v>109</v>
      </c>
      <c r="F11" s="68" t="s">
        <v>110</v>
      </c>
      <c r="G11" s="69" t="s">
        <v>100</v>
      </c>
    </row>
    <row r="12" spans="1:7">
      <c r="A12" s="57" t="s">
        <v>101</v>
      </c>
      <c r="B12" s="66">
        <v>1</v>
      </c>
      <c r="C12" s="66">
        <v>5.5</v>
      </c>
      <c r="D12" s="66">
        <v>0.5</v>
      </c>
      <c r="E12" s="66">
        <v>1</v>
      </c>
      <c r="F12" s="66">
        <v>0.5</v>
      </c>
      <c r="G12" s="71">
        <f>SUM(B12:F12)</f>
        <v>8.5</v>
      </c>
    </row>
    <row r="13" spans="1:7" ht="15" thickBot="1">
      <c r="A13" s="63" t="s">
        <v>111</v>
      </c>
      <c r="B13" s="18">
        <v>1</v>
      </c>
      <c r="C13" s="18">
        <v>6.5</v>
      </c>
      <c r="D13" s="18">
        <v>0.5</v>
      </c>
      <c r="E13" s="18">
        <v>1</v>
      </c>
      <c r="F13" s="18">
        <v>0.5</v>
      </c>
      <c r="G13" s="72">
        <f>SUM(B13:F13)</f>
        <v>9.5</v>
      </c>
    </row>
  </sheetData>
  <mergeCells count="2">
    <mergeCell ref="A1:D1"/>
    <mergeCell ref="A10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I4" sqref="I4"/>
    </sheetView>
  </sheetViews>
  <sheetFormatPr baseColWidth="10" defaultRowHeight="14.4"/>
  <cols>
    <col min="1" max="2" width="21.33203125" customWidth="1"/>
    <col min="3" max="3" width="25.6640625" customWidth="1"/>
    <col min="4" max="4" width="20.6640625" style="127" customWidth="1"/>
  </cols>
  <sheetData>
    <row r="1" spans="1:4" ht="15" thickBot="1">
      <c r="A1" s="128" t="s">
        <v>122</v>
      </c>
      <c r="B1" s="129"/>
      <c r="C1" s="129"/>
      <c r="D1" s="130"/>
    </row>
    <row r="2" spans="1:4" s="8" customFormat="1" ht="15" thickBot="1">
      <c r="A2" s="115" t="s">
        <v>123</v>
      </c>
      <c r="B2" s="116" t="s">
        <v>124</v>
      </c>
      <c r="C2" s="116" t="s">
        <v>125</v>
      </c>
      <c r="D2" s="117" t="s">
        <v>126</v>
      </c>
    </row>
    <row r="3" spans="1:4" ht="29.4" thickBot="1">
      <c r="A3" s="118" t="s">
        <v>127</v>
      </c>
      <c r="B3" s="119" t="s">
        <v>128</v>
      </c>
      <c r="C3" s="120" t="s">
        <v>129</v>
      </c>
      <c r="D3" s="114" t="s">
        <v>130</v>
      </c>
    </row>
    <row r="4" spans="1:4" ht="100.8" thickBot="1">
      <c r="A4" s="118" t="s">
        <v>131</v>
      </c>
      <c r="B4" s="119" t="s">
        <v>132</v>
      </c>
      <c r="C4" s="119" t="s">
        <v>133</v>
      </c>
      <c r="D4" s="114" t="s">
        <v>130</v>
      </c>
    </row>
    <row r="5" spans="1:4" ht="29.4" thickBot="1">
      <c r="A5" s="121" t="s">
        <v>134</v>
      </c>
      <c r="B5" s="119" t="s">
        <v>135</v>
      </c>
      <c r="C5" s="120" t="s">
        <v>129</v>
      </c>
      <c r="D5" s="114" t="s">
        <v>136</v>
      </c>
    </row>
    <row r="6" spans="1:4" ht="29.4" thickBot="1">
      <c r="A6" s="122"/>
      <c r="B6" s="119" t="s">
        <v>137</v>
      </c>
      <c r="C6" s="120" t="s">
        <v>129</v>
      </c>
      <c r="D6" s="114" t="s">
        <v>136</v>
      </c>
    </row>
    <row r="7" spans="1:4" ht="29.4" thickBot="1">
      <c r="A7" s="123" t="s">
        <v>138</v>
      </c>
      <c r="B7" s="124" t="s">
        <v>139</v>
      </c>
      <c r="C7" s="125" t="s">
        <v>129</v>
      </c>
      <c r="D7" s="126" t="s">
        <v>140</v>
      </c>
    </row>
    <row r="8" spans="1:4">
      <c r="A8" s="127"/>
    </row>
    <row r="9" spans="1:4">
      <c r="A9" s="127"/>
    </row>
    <row r="10" spans="1:4">
      <c r="A10" s="127"/>
    </row>
    <row r="11" spans="1:4">
      <c r="A11" s="127"/>
    </row>
    <row r="12" spans="1:4">
      <c r="A12" s="127"/>
    </row>
  </sheetData>
  <mergeCells count="2">
    <mergeCell ref="A1:D1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BACTERIOLOGOS</vt:lpstr>
      <vt:lpstr>TECNICOS</vt:lpstr>
      <vt:lpstr>HORARIOS</vt:lpstr>
      <vt:lpstr>LINEA TIEMPO CAMPAÑAS</vt:lpstr>
      <vt:lpstr>MIX CAMPAÑAS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Leany Andrea Rojas Sariego</dc:creator>
  <cp:lastModifiedBy>Mónica Astrid Ramírez García</cp:lastModifiedBy>
  <dcterms:created xsi:type="dcterms:W3CDTF">2026-02-10T15:48:57Z</dcterms:created>
  <dcterms:modified xsi:type="dcterms:W3CDTF">2026-02-11T15:20:07Z</dcterms:modified>
</cp:coreProperties>
</file>